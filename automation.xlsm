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ziz.smansoor\eclipse-workspace\JvProj\TelosysTools\templates\telosys-template-reports-etl\"/>
    </mc:Choice>
  </mc:AlternateContent>
  <bookViews>
    <workbookView xWindow="0" yWindow="0" windowWidth="20490" windowHeight="7755"/>
  </bookViews>
  <sheets>
    <sheet name="RPT_TPCNHPH010C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7" i="1"/>
  <c r="C4" i="1"/>
  <c r="S4" i="1"/>
  <c r="P4" i="1"/>
  <c r="G4" i="1"/>
  <c r="W4" i="1"/>
  <c r="K4" i="1"/>
  <c r="O4" i="1"/>
  <c r="L4" i="1"/>
  <c r="H4" i="1"/>
  <c r="B4" i="1"/>
  <c r="N4" i="1"/>
  <c r="F4" i="1"/>
  <c r="M4" i="1"/>
  <c r="R4" i="1"/>
  <c r="Q4" i="1"/>
  <c r="T4" i="1"/>
  <c r="E4" i="1"/>
  <c r="J4" i="1"/>
  <c r="I4" i="1"/>
  <c r="V4" i="1"/>
  <c r="D4" i="1"/>
  <c r="U4" i="1"/>
</calcChain>
</file>

<file path=xl/sharedStrings.xml><?xml version="1.0" encoding="utf-8"?>
<sst xmlns="http://schemas.openxmlformats.org/spreadsheetml/2006/main" count="66" uniqueCount="46">
  <si>
    <t>visit_id</t>
  </si>
  <si>
    <t>patient_id</t>
  </si>
  <si>
    <t>component_id</t>
  </si>
  <si>
    <t>state_id</t>
  </si>
  <si>
    <t>state_name</t>
  </si>
  <si>
    <t>district_id</t>
  </si>
  <si>
    <t>district_name</t>
  </si>
  <si>
    <t>facility_id</t>
  </si>
  <si>
    <t>facility_name</t>
  </si>
  <si>
    <t>enrolment_date</t>
  </si>
  <si>
    <t>ethnic_group_name</t>
  </si>
  <si>
    <t>age</t>
  </si>
  <si>
    <t>gender_id</t>
  </si>
  <si>
    <t>gender_name</t>
  </si>
  <si>
    <t>enrolment_status</t>
  </si>
  <si>
    <t>id</t>
  </si>
  <si>
    <t>actual_date</t>
  </si>
  <si>
    <t>education_session_status</t>
  </si>
  <si>
    <t>activity</t>
  </si>
  <si>
    <t>item_id</t>
  </si>
  <si>
    <t>nicotine_drug</t>
  </si>
  <si>
    <t>varenicline_drug</t>
  </si>
  <si>
    <t>visitId</t>
  </si>
  <si>
    <t>patientId</t>
  </si>
  <si>
    <t>componentId</t>
  </si>
  <si>
    <t>stateId</t>
  </si>
  <si>
    <t>stateName</t>
  </si>
  <si>
    <t>districtId</t>
  </si>
  <si>
    <t>districtName</t>
  </si>
  <si>
    <t>facilityId</t>
  </si>
  <si>
    <t>facilityName</t>
  </si>
  <si>
    <t>enrolmentDate</t>
  </si>
  <si>
    <t>ethnicGroupName</t>
  </si>
  <si>
    <t>genderId</t>
  </si>
  <si>
    <t>genderName</t>
  </si>
  <si>
    <t>enrolmentStatus</t>
  </si>
  <si>
    <t>educationSessionStatus</t>
  </si>
  <si>
    <t>itemId</t>
  </si>
  <si>
    <t>nicotineDrug</t>
  </si>
  <si>
    <t>vareniclineDrug</t>
  </si>
  <si>
    <t>long</t>
  </si>
  <si>
    <t>string</t>
  </si>
  <si>
    <t>1)Edit field in grey</t>
  </si>
  <si>
    <t>3) Copy row column below</t>
  </si>
  <si>
    <t>2)Copy line#4 and paste transpose below</t>
  </si>
  <si>
    <t xml:space="preserve">Convert column name from table sql to Telosys entity.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</si>
</sst>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indexed="8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  <font>
      <sz val="18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1" fillId="4" borderId="0" xfId="0" applyFont="1" applyFill="1"/>
    <xf numFmtId="0" fontId="2" fillId="4" borderId="0" xfId="0" applyFont="1" applyFill="1"/>
    <xf numFmtId="0" fontId="3" fillId="4" borderId="0" xfId="0" applyFont="1" applyFill="1"/>
    <xf numFmtId="0" fontId="4" fillId="4" borderId="0" xfId="0" applyFont="1" applyFill="1"/>
    <xf numFmtId="0" fontId="5" fillId="4" borderId="0" xfId="0" applyFont="1" applyFill="1"/>
    <xf numFmtId="0" fontId="6" fillId="4" borderId="0" xfId="0" applyFont="1" applyFill="1"/>
    <xf numFmtId="0" fontId="7" fillId="4" borderId="0" xfId="0" applyFont="1" applyFill="1"/>
    <xf numFmtId="0" fontId="8" fillId="4" borderId="0" xfId="0" applyFont="1" applyFill="1"/>
    <xf numFmtId="0" fontId="9" fillId="4" borderId="0" xfId="0" applyFont="1" applyFill="1"/>
    <xf numFmtId="0" fontId="10" fillId="4" borderId="0" xfId="0" applyFont="1" applyFill="1"/>
    <xf numFmtId="0" fontId="11" fillId="4" borderId="0" xfId="0" applyFont="1" applyFill="1"/>
    <xf numFmtId="0" fontId="12" fillId="4" borderId="0" xfId="0" applyFont="1" applyFill="1"/>
    <xf numFmtId="0" fontId="13" fillId="4" borderId="0" xfId="0" applyFont="1" applyFill="1"/>
    <xf numFmtId="0" fontId="14" fillId="4" borderId="0" xfId="0" applyFont="1" applyFill="1"/>
    <xf numFmtId="0" fontId="15" fillId="4" borderId="0" xfId="0" applyFont="1" applyFill="1"/>
    <xf numFmtId="0" fontId="16" fillId="4" borderId="0" xfId="0" applyFont="1" applyFill="1"/>
    <xf numFmtId="0" fontId="17" fillId="4" borderId="0" xfId="0" applyFont="1" applyFill="1"/>
    <xf numFmtId="0" fontId="18" fillId="4" borderId="0" xfId="0" applyFont="1" applyFill="1"/>
    <xf numFmtId="0" fontId="19" fillId="4" borderId="0" xfId="0" applyFont="1" applyFill="1"/>
    <xf numFmtId="0" fontId="20" fillId="4" borderId="0" xfId="0" applyFont="1" applyFill="1"/>
    <xf numFmtId="0" fontId="21" fillId="4" borderId="0" xfId="0" applyFont="1" applyFill="1"/>
    <xf numFmtId="0" fontId="22" fillId="4" borderId="0" xfId="0" applyFont="1" applyFill="1"/>
    <xf numFmtId="0" fontId="23" fillId="0" borderId="0" xfId="0" applyFont="1"/>
    <xf numFmtId="0" fontId="0" fillId="4" borderId="0" xfId="0" applyFill="1"/>
    <xf numFmtId="0" fontId="0" fillId="3" borderId="0" xfId="0" applyFill="1"/>
    <xf numFmtId="0" fontId="24" fillId="0" borderId="0" xfId="0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6"/>
  <sheetViews>
    <sheetView tabSelected="1" zoomScale="85" zoomScaleNormal="85" workbookViewId="0">
      <selection activeCell="D14" sqref="D14"/>
    </sheetView>
  </sheetViews>
  <sheetFormatPr defaultRowHeight="15" x14ac:dyDescent="0.25"/>
  <cols>
    <col min="1" max="1" width="43.5703125" customWidth="1"/>
    <col min="2" max="2" width="48.140625" customWidth="1"/>
    <col min="3" max="3" width="32.42578125" customWidth="1"/>
    <col min="4" max="4" width="15.28515625" customWidth="1"/>
    <col min="5" max="5" width="8.42578125" customWidth="1"/>
    <col min="6" max="6" width="15.5703125" customWidth="1"/>
    <col min="7" max="7" width="10.140625" customWidth="1"/>
    <col min="8" max="8" width="13.5703125" customWidth="1"/>
    <col min="9" max="9" width="10" customWidth="1"/>
    <col min="10" max="10" width="13.42578125" customWidth="1"/>
    <col min="11" max="11" width="23.5703125" customWidth="1"/>
    <col min="12" max="12" width="19.42578125" customWidth="1"/>
    <col min="13" max="13" width="4.140625" customWidth="1"/>
    <col min="14" max="14" width="10.28515625" customWidth="1"/>
    <col min="15" max="15" width="13.7109375" customWidth="1"/>
    <col min="16" max="16" width="17.28515625" customWidth="1"/>
    <col min="17" max="17" width="4.140625" style="1" customWidth="1"/>
    <col min="18" max="18" width="12.28515625" style="1" customWidth="1"/>
    <col min="19" max="19" width="24.42578125" customWidth="1"/>
    <col min="20" max="21" width="15.28515625" customWidth="1"/>
    <col min="22" max="22" width="18" customWidth="1"/>
    <col min="23" max="23" width="16.28515625" customWidth="1"/>
  </cols>
  <sheetData>
    <row r="1" spans="1:23" ht="74.25" customHeight="1" x14ac:dyDescent="0.25">
      <c r="A1" s="27" t="s">
        <v>45</v>
      </c>
    </row>
    <row r="3" spans="1:23" x14ac:dyDescent="0.25">
      <c r="A3" s="24" t="s">
        <v>42</v>
      </c>
      <c r="B3" s="2" t="s">
        <v>0</v>
      </c>
      <c r="C3" s="3" t="s">
        <v>1</v>
      </c>
      <c r="D3" s="4" t="s">
        <v>2</v>
      </c>
      <c r="E3" s="5" t="s">
        <v>3</v>
      </c>
      <c r="F3" s="6" t="s">
        <v>4</v>
      </c>
      <c r="G3" s="7" t="s">
        <v>5</v>
      </c>
      <c r="H3" s="8" t="s">
        <v>6</v>
      </c>
      <c r="I3" s="9" t="s">
        <v>7</v>
      </c>
      <c r="J3" s="10" t="s">
        <v>8</v>
      </c>
      <c r="K3" s="11" t="s">
        <v>9</v>
      </c>
      <c r="L3" s="12" t="s">
        <v>10</v>
      </c>
      <c r="M3" s="13" t="s">
        <v>11</v>
      </c>
      <c r="N3" s="14" t="s">
        <v>12</v>
      </c>
      <c r="O3" s="15" t="s">
        <v>13</v>
      </c>
      <c r="P3" s="16" t="s">
        <v>14</v>
      </c>
      <c r="Q3" s="17" t="s">
        <v>15</v>
      </c>
      <c r="R3" s="18" t="s">
        <v>16</v>
      </c>
      <c r="S3" s="19" t="s">
        <v>17</v>
      </c>
      <c r="T3" s="20" t="s">
        <v>18</v>
      </c>
      <c r="U3" s="21" t="s">
        <v>19</v>
      </c>
      <c r="V3" s="22" t="s">
        <v>20</v>
      </c>
      <c r="W3" s="23" t="s">
        <v>21</v>
      </c>
    </row>
    <row r="4" spans="1:23" x14ac:dyDescent="0.25">
      <c r="B4" t="str">
        <f>DashFixer(B3)</f>
        <v>visitId</v>
      </c>
      <c r="C4" t="str">
        <f>DashFixer(C3)</f>
        <v>patientId</v>
      </c>
      <c r="D4" t="str">
        <f>DashFixer(D3)</f>
        <v>componentId</v>
      </c>
      <c r="E4" t="str">
        <f>DashFixer(E3)</f>
        <v>stateId</v>
      </c>
      <c r="F4" t="str">
        <f>DashFixer(F3)</f>
        <v>stateName</v>
      </c>
      <c r="G4" t="str">
        <f>DashFixer(G3)</f>
        <v>districtId</v>
      </c>
      <c r="H4" t="str">
        <f>DashFixer(H3)</f>
        <v>districtName</v>
      </c>
      <c r="I4" t="str">
        <f>DashFixer(I3)</f>
        <v>facilityId</v>
      </c>
      <c r="J4" t="str">
        <f>DashFixer(J3)</f>
        <v>facilityName</v>
      </c>
      <c r="K4" t="str">
        <f>DashFixer(K3)</f>
        <v>enrolmentDate</v>
      </c>
      <c r="L4" t="str">
        <f>DashFixer(L3)</f>
        <v>ethnicGroupName</v>
      </c>
      <c r="M4" t="str">
        <f>DashFixer(M3)</f>
        <v>age</v>
      </c>
      <c r="N4" t="str">
        <f>DashFixer(N3)</f>
        <v>genderId</v>
      </c>
      <c r="O4" t="str">
        <f>DashFixer(O3)</f>
        <v>genderName</v>
      </c>
      <c r="P4" t="str">
        <f>DashFixer(P3)</f>
        <v>enrolmentStatus</v>
      </c>
      <c r="Q4" s="1" t="str">
        <f>DashFixer(Q3)</f>
        <v>id</v>
      </c>
      <c r="R4" s="1" t="str">
        <f>DashFixer(R3)</f>
        <v>actualDate</v>
      </c>
      <c r="S4" t="str">
        <f>DashFixer(S3)</f>
        <v>educationSessionStatus</v>
      </c>
      <c r="T4" t="str">
        <f>DashFixer(T3)</f>
        <v>activity</v>
      </c>
      <c r="U4" t="str">
        <f>DashFixer(U3)</f>
        <v>itemId</v>
      </c>
      <c r="V4" t="str">
        <f>DashFixer(V3)</f>
        <v>nicotineDrug</v>
      </c>
      <c r="W4" t="str">
        <f>DashFixer(W3)</f>
        <v>vareniclineDrug</v>
      </c>
    </row>
    <row r="6" spans="1:23" x14ac:dyDescent="0.25">
      <c r="B6" s="24" t="s">
        <v>44</v>
      </c>
      <c r="C6" s="24" t="s">
        <v>43</v>
      </c>
    </row>
    <row r="7" spans="1:23" x14ac:dyDescent="0.25">
      <c r="A7" s="25" t="s">
        <v>40</v>
      </c>
      <c r="B7" t="s">
        <v>22</v>
      </c>
      <c r="C7" s="26" t="str">
        <f xml:space="preserve">  B7 &amp;" : "&amp;A7&amp;" ;"</f>
        <v>visitId : long ;</v>
      </c>
    </row>
    <row r="8" spans="1:23" x14ac:dyDescent="0.25">
      <c r="A8" s="25" t="s">
        <v>40</v>
      </c>
      <c r="B8" t="s">
        <v>23</v>
      </c>
      <c r="C8" s="26" t="str">
        <f t="shared" ref="C8:C26" si="0" xml:space="preserve">  B8 &amp;" : "&amp;A8&amp;" ;"</f>
        <v>patientId : long ;</v>
      </c>
    </row>
    <row r="9" spans="1:23" x14ac:dyDescent="0.25">
      <c r="A9" s="25" t="s">
        <v>40</v>
      </c>
      <c r="B9" t="s">
        <v>24</v>
      </c>
      <c r="C9" s="26" t="str">
        <f t="shared" si="0"/>
        <v>componentId : long ;</v>
      </c>
    </row>
    <row r="10" spans="1:23" x14ac:dyDescent="0.25">
      <c r="A10" s="25" t="s">
        <v>40</v>
      </c>
      <c r="B10" t="s">
        <v>25</v>
      </c>
      <c r="C10" s="26" t="str">
        <f t="shared" si="0"/>
        <v>stateId : long ;</v>
      </c>
    </row>
    <row r="11" spans="1:23" x14ac:dyDescent="0.25">
      <c r="A11" s="25" t="s">
        <v>41</v>
      </c>
      <c r="B11" t="s">
        <v>26</v>
      </c>
      <c r="C11" s="26" t="str">
        <f t="shared" si="0"/>
        <v>stateName : string ;</v>
      </c>
    </row>
    <row r="12" spans="1:23" x14ac:dyDescent="0.25">
      <c r="A12" s="25" t="s">
        <v>40</v>
      </c>
      <c r="B12" t="s">
        <v>27</v>
      </c>
      <c r="C12" s="26" t="str">
        <f t="shared" si="0"/>
        <v>districtId : long ;</v>
      </c>
    </row>
    <row r="13" spans="1:23" x14ac:dyDescent="0.25">
      <c r="A13" s="25" t="s">
        <v>41</v>
      </c>
      <c r="B13" t="s">
        <v>28</v>
      </c>
      <c r="C13" s="26" t="str">
        <f t="shared" si="0"/>
        <v>districtName : string ;</v>
      </c>
    </row>
    <row r="14" spans="1:23" x14ac:dyDescent="0.25">
      <c r="A14" s="25" t="s">
        <v>40</v>
      </c>
      <c r="B14" t="s">
        <v>29</v>
      </c>
      <c r="C14" s="26" t="str">
        <f t="shared" si="0"/>
        <v>facilityId : long ;</v>
      </c>
    </row>
    <row r="15" spans="1:23" x14ac:dyDescent="0.25">
      <c r="A15" s="25" t="s">
        <v>41</v>
      </c>
      <c r="B15" t="s">
        <v>30</v>
      </c>
      <c r="C15" s="26" t="str">
        <f t="shared" si="0"/>
        <v>facilityName : string ;</v>
      </c>
    </row>
    <row r="16" spans="1:23" x14ac:dyDescent="0.25">
      <c r="A16" s="25" t="s">
        <v>40</v>
      </c>
      <c r="B16" t="s">
        <v>31</v>
      </c>
      <c r="C16" s="26" t="str">
        <f t="shared" si="0"/>
        <v>enrolmentDate : long ;</v>
      </c>
    </row>
    <row r="17" spans="1:3" x14ac:dyDescent="0.25">
      <c r="A17" s="25" t="s">
        <v>41</v>
      </c>
      <c r="B17" t="s">
        <v>32</v>
      </c>
      <c r="C17" s="26" t="str">
        <f t="shared" si="0"/>
        <v>ethnicGroupName : string ;</v>
      </c>
    </row>
    <row r="18" spans="1:3" x14ac:dyDescent="0.25">
      <c r="A18" s="25" t="s">
        <v>40</v>
      </c>
      <c r="B18" t="s">
        <v>11</v>
      </c>
      <c r="C18" s="26" t="str">
        <f t="shared" si="0"/>
        <v>age : long ;</v>
      </c>
    </row>
    <row r="19" spans="1:3" x14ac:dyDescent="0.25">
      <c r="A19" s="25" t="s">
        <v>40</v>
      </c>
      <c r="B19" t="s">
        <v>33</v>
      </c>
      <c r="C19" s="26" t="str">
        <f t="shared" si="0"/>
        <v>genderId : long ;</v>
      </c>
    </row>
    <row r="20" spans="1:3" x14ac:dyDescent="0.25">
      <c r="A20" s="25" t="s">
        <v>41</v>
      </c>
      <c r="B20" t="s">
        <v>34</v>
      </c>
      <c r="C20" s="26" t="str">
        <f t="shared" si="0"/>
        <v>genderName : string ;</v>
      </c>
    </row>
    <row r="21" spans="1:3" x14ac:dyDescent="0.25">
      <c r="A21" s="25" t="s">
        <v>41</v>
      </c>
      <c r="B21" t="s">
        <v>35</v>
      </c>
      <c r="C21" s="26" t="str">
        <f t="shared" si="0"/>
        <v>enrolmentStatus : string ;</v>
      </c>
    </row>
    <row r="22" spans="1:3" x14ac:dyDescent="0.25">
      <c r="A22" s="25" t="s">
        <v>41</v>
      </c>
      <c r="B22" t="s">
        <v>36</v>
      </c>
      <c r="C22" s="26" t="str">
        <f t="shared" si="0"/>
        <v>educationSessionStatus : string ;</v>
      </c>
    </row>
    <row r="23" spans="1:3" x14ac:dyDescent="0.25">
      <c r="A23" s="25" t="s">
        <v>41</v>
      </c>
      <c r="B23" t="s">
        <v>18</v>
      </c>
      <c r="C23" s="26" t="str">
        <f t="shared" si="0"/>
        <v>activity : string ;</v>
      </c>
    </row>
    <row r="24" spans="1:3" x14ac:dyDescent="0.25">
      <c r="A24" s="25" t="s">
        <v>40</v>
      </c>
      <c r="B24" t="s">
        <v>37</v>
      </c>
      <c r="C24" s="26" t="str">
        <f t="shared" si="0"/>
        <v>itemId : long ;</v>
      </c>
    </row>
    <row r="25" spans="1:3" x14ac:dyDescent="0.25">
      <c r="A25" s="25" t="s">
        <v>41</v>
      </c>
      <c r="B25" t="s">
        <v>38</v>
      </c>
      <c r="C25" s="26" t="str">
        <f t="shared" si="0"/>
        <v>nicotineDrug : string ;</v>
      </c>
    </row>
    <row r="26" spans="1:3" x14ac:dyDescent="0.25">
      <c r="A26" s="25" t="s">
        <v>41</v>
      </c>
      <c r="B26" t="s">
        <v>39</v>
      </c>
      <c r="C26" s="26" t="str">
        <f t="shared" si="0"/>
        <v>vareniclineDrug : string 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RPT_TPCNHPH010C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Abdul Aziz Syed Mansoor</cp:lastModifiedBy>
  <dcterms:created xsi:type="dcterms:W3CDTF">2018-09-04T10:55:27Z</dcterms:created>
  <dcterms:modified xsi:type="dcterms:W3CDTF">2018-09-24T02:43:44Z</dcterms:modified>
</cp:coreProperties>
</file>