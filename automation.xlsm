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ziz.smansoor\eclipse-workspace\JvProj\TelosysTools\templates\telosys-template-reports-etl\"/>
    </mc:Choice>
  </mc:AlternateContent>
  <bookViews>
    <workbookView minimized="1" xWindow="0" yWindow="0" windowWidth="20490" windowHeight="7755"/>
  </bookViews>
  <sheets>
    <sheet name="RPT_TPCNHPH010C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27" i="1" l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7" i="1" l="1"/>
  <c r="X4" i="1"/>
  <c r="AB4" i="1"/>
  <c r="AF4" i="1"/>
  <c r="AJ4" i="1"/>
  <c r="AN4" i="1"/>
  <c r="AR4" i="1"/>
  <c r="AV4" i="1"/>
  <c r="AZ4" i="1"/>
  <c r="BD4" i="1"/>
  <c r="BH4" i="1"/>
  <c r="BL4" i="1"/>
  <c r="BP4" i="1"/>
  <c r="Z4" i="1"/>
  <c r="AL4" i="1"/>
  <c r="AT4" i="1"/>
  <c r="BB4" i="1"/>
  <c r="BJ4" i="1"/>
  <c r="BR4" i="1"/>
  <c r="AE4" i="1"/>
  <c r="AM4" i="1"/>
  <c r="AU4" i="1"/>
  <c r="BC4" i="1"/>
  <c r="BK4" i="1"/>
  <c r="Y4" i="1"/>
  <c r="AC4" i="1"/>
  <c r="AG4" i="1"/>
  <c r="AK4" i="1"/>
  <c r="AO4" i="1"/>
  <c r="AS4" i="1"/>
  <c r="AW4" i="1"/>
  <c r="BA4" i="1"/>
  <c r="BE4" i="1"/>
  <c r="BI4" i="1"/>
  <c r="BM4" i="1"/>
  <c r="BQ4" i="1"/>
  <c r="AD4" i="1"/>
  <c r="AH4" i="1"/>
  <c r="AP4" i="1"/>
  <c r="AX4" i="1"/>
  <c r="BF4" i="1"/>
  <c r="BN4" i="1"/>
  <c r="AA4" i="1"/>
  <c r="AI4" i="1"/>
  <c r="AQ4" i="1"/>
  <c r="AY4" i="1"/>
  <c r="BG4" i="1"/>
  <c r="BO4" i="1"/>
  <c r="W4" i="1"/>
  <c r="T4" i="1"/>
  <c r="S4" i="1"/>
  <c r="V4" i="1"/>
  <c r="U4" i="1"/>
  <c r="Q4" i="1"/>
  <c r="R4" i="1"/>
  <c r="C4" i="1"/>
  <c r="I4" i="1"/>
  <c r="G4" i="1"/>
  <c r="J4" i="1"/>
  <c r="D4" i="1"/>
  <c r="M4" i="1"/>
  <c r="E4" i="1"/>
  <c r="F4" i="1"/>
  <c r="K4" i="1"/>
  <c r="L4" i="1"/>
  <c r="H4" i="1"/>
  <c r="B4" i="1"/>
  <c r="N4" i="1"/>
  <c r="P4" i="1"/>
  <c r="O4" i="1"/>
</calcChain>
</file>

<file path=xl/sharedStrings.xml><?xml version="1.0" encoding="utf-8"?>
<sst xmlns="http://schemas.openxmlformats.org/spreadsheetml/2006/main" count="263" uniqueCount="97">
  <si>
    <t>state_id</t>
  </si>
  <si>
    <t>facility_name</t>
  </si>
  <si>
    <t>visitId</t>
  </si>
  <si>
    <t>stateId</t>
  </si>
  <si>
    <t>facilityName</t>
  </si>
  <si>
    <t>long</t>
  </si>
  <si>
    <t>string</t>
  </si>
  <si>
    <t>1)Edit field in grey</t>
  </si>
  <si>
    <t>3) Copy row column below</t>
  </si>
  <si>
    <t>2)Copy line#4 and paste transpose below</t>
  </si>
  <si>
    <t xml:space="preserve">Convert column name from table sql to Telosys entity. </t>
  </si>
  <si>
    <t>ccm_diet_rendah_kolesterol</t>
  </si>
  <si>
    <t>ccm_diet_rendah_lemak</t>
  </si>
  <si>
    <t>ccm_diet_rendah_kalori</t>
  </si>
  <si>
    <t>ccm_diet_tinggi_kalori</t>
  </si>
  <si>
    <t>ccm_diet_rendah_protein</t>
  </si>
  <si>
    <t>ccm_diet_tinggi_protein</t>
  </si>
  <si>
    <t>ccm_diet_rendah_purin</t>
  </si>
  <si>
    <t>ccm_diet_rendah_potassium</t>
  </si>
  <si>
    <t>ccm_diet_tinggi_potassium</t>
  </si>
  <si>
    <t>ccm_diet_rendah_fostat</t>
  </si>
  <si>
    <t>ccm_diet_iem</t>
  </si>
  <si>
    <t>ccm_diet_ketogenik</t>
  </si>
  <si>
    <t>ccm_lain_lain</t>
  </si>
  <si>
    <t>ccm_jenis_kaunseling</t>
  </si>
  <si>
    <t>catatan</t>
  </si>
  <si>
    <t>patient_name</t>
  </si>
  <si>
    <t>address</t>
  </si>
  <si>
    <t>postal_code</t>
  </si>
  <si>
    <t>home_phone</t>
  </si>
  <si>
    <t>mobile_phone</t>
  </si>
  <si>
    <t>date_of_birth</t>
  </si>
  <si>
    <t>gender_code</t>
  </si>
  <si>
    <t>nationality</t>
  </si>
  <si>
    <t>occupation_code</t>
  </si>
  <si>
    <t>ethnic_group_code</t>
  </si>
  <si>
    <t>occupation_name</t>
  </si>
  <si>
    <t>pcId</t>
  </si>
  <si>
    <t>ccmParenteral</t>
  </si>
  <si>
    <t>ccmDietPiawai</t>
  </si>
  <si>
    <t>ccmDietModifikasiKonsistensi</t>
  </si>
  <si>
    <t>ccmDietDiabetik</t>
  </si>
  <si>
    <t>ccmDietRendahGaram</t>
  </si>
  <si>
    <t>ccmDietRendahKolesterol</t>
  </si>
  <si>
    <t>ccmDietRendahLemak</t>
  </si>
  <si>
    <t>ccmDietRendahKalori</t>
  </si>
  <si>
    <t>ccmDietTinggiKalori</t>
  </si>
  <si>
    <t>ccmDietRendahProtein</t>
  </si>
  <si>
    <t>ccmDietTinggiProtein</t>
  </si>
  <si>
    <t>ccmDietRendahPurin</t>
  </si>
  <si>
    <t>ccmDietRendahPotassium</t>
  </si>
  <si>
    <t>ccmDietTinggiPotassium</t>
  </si>
  <si>
    <t>ccmDietRendahFostat</t>
  </si>
  <si>
    <t>ccmDietIem</t>
  </si>
  <si>
    <t>ccmDietKetogenik</t>
  </si>
  <si>
    <t>ccmLainLain</t>
  </si>
  <si>
    <t>ccmJenisKaunseling</t>
  </si>
  <si>
    <t>patientName</t>
  </si>
  <si>
    <t>postalCode</t>
  </si>
  <si>
    <t>homePhone</t>
  </si>
  <si>
    <t>mobilePhone</t>
  </si>
  <si>
    <t>dateOfBirth</t>
  </si>
  <si>
    <t>genderCode</t>
  </si>
  <si>
    <t>occupationCode</t>
  </si>
  <si>
    <t>ethnicGroupCode</t>
  </si>
  <si>
    <t>occupationName</t>
  </si>
  <si>
    <t/>
  </si>
  <si>
    <t>date</t>
  </si>
  <si>
    <t>createdAt</t>
  </si>
  <si>
    <t>@Id</t>
  </si>
  <si>
    <t>jabatan</t>
  </si>
  <si>
    <t>negeri</t>
  </si>
  <si>
    <t>state_name</t>
  </si>
  <si>
    <t>district_name</t>
  </si>
  <si>
    <t>visitEncounterId</t>
  </si>
  <si>
    <t>clinicId</t>
  </si>
  <si>
    <t>stateName</t>
  </si>
  <si>
    <t>districtId</t>
  </si>
  <si>
    <t>districtName</t>
  </si>
  <si>
    <t>facilityId</t>
  </si>
  <si>
    <t>createdBy</t>
  </si>
  <si>
    <t>program</t>
  </si>
  <si>
    <t>rnum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</si>
  <si>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</si>
  <si>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</si>
  <si>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</si>
  <si>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</si>
  <si>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</si>
  <si>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</si>
  <si>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</si>
  <si>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</si>
  <si>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</si>
  <si>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</si>
  <si>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jum_program</t>
  </si>
  <si>
    <t>jum_pesakit</t>
  </si>
  <si>
    <t>jumProgram</t>
  </si>
  <si>
    <t>jumPesakit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</si>
</sst>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indexed="8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  <scheme val="minor"/>
    </font>
    <font>
      <sz val="18"/>
      <color indexed="8"/>
      <name val="Calibri"/>
      <family val="2"/>
      <scheme val="minor"/>
    </font>
    <font>
      <b/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1" fillId="4" borderId="0" xfId="0" applyFont="1" applyFill="1"/>
    <xf numFmtId="0" fontId="2" fillId="4" borderId="0" xfId="0" applyFont="1" applyFill="1"/>
    <xf numFmtId="0" fontId="3" fillId="4" borderId="0" xfId="0" applyFont="1" applyFill="1"/>
    <xf numFmtId="0" fontId="4" fillId="4" borderId="0" xfId="0" applyFont="1" applyFill="1"/>
    <xf numFmtId="0" fontId="5" fillId="4" borderId="0" xfId="0" applyFont="1" applyFill="1"/>
    <xf numFmtId="0" fontId="6" fillId="0" borderId="0" xfId="0" applyFont="1"/>
    <xf numFmtId="0" fontId="0" fillId="4" borderId="0" xfId="0" applyFill="1"/>
    <xf numFmtId="0" fontId="0" fillId="3" borderId="0" xfId="0" applyFill="1"/>
    <xf numFmtId="0" fontId="7" fillId="0" borderId="0" xfId="0" applyFont="1" applyAlignment="1">
      <alignment vertical="top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75"/>
  <sheetViews>
    <sheetView tabSelected="1" zoomScale="70" zoomScaleNormal="70" workbookViewId="0">
      <selection activeCell="C23" sqref="C7:C23"/>
    </sheetView>
  </sheetViews>
  <sheetFormatPr defaultRowHeight="15" x14ac:dyDescent="0.25"/>
  <cols>
    <col min="1" max="1" width="43.5703125" customWidth="1"/>
    <col min="2" max="2" width="48.140625" customWidth="1"/>
    <col min="3" max="3" width="32.42578125" customWidth="1"/>
    <col min="4" max="4" width="15.28515625" customWidth="1"/>
    <col min="5" max="5" width="8.42578125" customWidth="1"/>
    <col min="6" max="6" width="15.5703125" customWidth="1"/>
    <col min="7" max="7" width="10.140625" customWidth="1"/>
    <col min="8" max="8" width="13.5703125" customWidth="1"/>
    <col min="9" max="9" width="10" customWidth="1"/>
    <col min="10" max="10" width="13.42578125" customWidth="1"/>
    <col min="11" max="11" width="23.5703125" customWidth="1"/>
    <col min="12" max="12" width="19.42578125" customWidth="1"/>
    <col min="13" max="13" width="4.140625" customWidth="1"/>
    <col min="14" max="14" width="10.28515625" customWidth="1"/>
    <col min="15" max="15" width="13.7109375" customWidth="1"/>
    <col min="16" max="16" width="17.28515625" customWidth="1"/>
    <col min="17" max="17" width="4.140625" style="1" customWidth="1"/>
    <col min="18" max="18" width="12.28515625" style="1" customWidth="1"/>
    <col min="19" max="19" width="24.42578125" customWidth="1"/>
    <col min="20" max="21" width="15.28515625" customWidth="1"/>
    <col min="22" max="22" width="18" customWidth="1"/>
    <col min="23" max="23" width="16.28515625" customWidth="1"/>
  </cols>
  <sheetData>
    <row r="1" spans="1:74" ht="74.25" customHeight="1" x14ac:dyDescent="0.25">
      <c r="A1" s="10" t="s">
        <v>10</v>
      </c>
    </row>
    <row r="3" spans="1:74" x14ac:dyDescent="0.25">
      <c r="A3" s="7" t="s">
        <v>7</v>
      </c>
      <c r="B3" s="11" t="s">
        <v>82</v>
      </c>
      <c r="C3" s="11" t="s">
        <v>72</v>
      </c>
      <c r="D3" s="11" t="s">
        <v>73</v>
      </c>
      <c r="E3" s="11" t="s">
        <v>1</v>
      </c>
      <c r="F3" s="11" t="s">
        <v>81</v>
      </c>
      <c r="G3" s="11" t="s">
        <v>83</v>
      </c>
      <c r="H3" s="11" t="s">
        <v>84</v>
      </c>
      <c r="I3" s="11" t="s">
        <v>85</v>
      </c>
      <c r="J3" s="11" t="s">
        <v>86</v>
      </c>
      <c r="K3" s="11" t="s">
        <v>87</v>
      </c>
      <c r="L3" s="11" t="s">
        <v>88</v>
      </c>
      <c r="M3" s="11" t="s">
        <v>89</v>
      </c>
      <c r="N3" s="11" t="s">
        <v>90</v>
      </c>
      <c r="O3" s="11" t="s">
        <v>91</v>
      </c>
      <c r="P3" s="11" t="s">
        <v>92</v>
      </c>
      <c r="Q3" s="11" t="s">
        <v>93</v>
      </c>
      <c r="R3" s="11" t="s">
        <v>94</v>
      </c>
      <c r="S3" s="2"/>
      <c r="T3" s="3"/>
      <c r="U3" s="4"/>
      <c r="V3" s="5"/>
      <c r="W3" s="6"/>
      <c r="X3" t="s">
        <v>11</v>
      </c>
      <c r="Y3" t="s">
        <v>12</v>
      </c>
      <c r="Z3" t="s">
        <v>13</v>
      </c>
      <c r="AA3" t="s">
        <v>14</v>
      </c>
      <c r="AB3" t="s">
        <v>15</v>
      </c>
      <c r="AC3" t="s">
        <v>16</v>
      </c>
      <c r="AD3" t="s">
        <v>17</v>
      </c>
      <c r="AE3" t="s">
        <v>18</v>
      </c>
      <c r="AF3" t="s">
        <v>19</v>
      </c>
      <c r="AG3" t="s">
        <v>20</v>
      </c>
      <c r="AH3" t="s">
        <v>21</v>
      </c>
      <c r="AI3" t="s">
        <v>22</v>
      </c>
      <c r="AJ3" t="s">
        <v>23</v>
      </c>
      <c r="AK3" t="s">
        <v>24</v>
      </c>
      <c r="AL3" t="s">
        <v>25</v>
      </c>
      <c r="AM3" t="s">
        <v>26</v>
      </c>
      <c r="AN3" t="s">
        <v>27</v>
      </c>
      <c r="AO3" t="s">
        <v>28</v>
      </c>
      <c r="AP3" t="s">
        <v>0</v>
      </c>
      <c r="AQ3" t="s">
        <v>29</v>
      </c>
      <c r="AR3" t="s">
        <v>30</v>
      </c>
      <c r="AS3" t="s">
        <v>31</v>
      </c>
      <c r="AT3" t="s">
        <v>32</v>
      </c>
      <c r="AU3" t="s">
        <v>33</v>
      </c>
      <c r="AV3" t="s">
        <v>34</v>
      </c>
      <c r="AW3" t="s">
        <v>35</v>
      </c>
      <c r="AX3" t="s">
        <v>36</v>
      </c>
    </row>
    <row r="4" spans="1:74" x14ac:dyDescent="0.25">
      <c r="B4" t="str">
        <f t="shared" ref="B4:W4" si="0">DashFixer(B3)</f>
        <v>rnum</v>
      </c>
      <c r="C4" t="str">
        <f t="shared" si="0"/>
        <v>stateName</v>
      </c>
      <c r="D4" t="str">
        <f t="shared" si="0"/>
        <v>districtName</v>
      </c>
      <c r="E4" t="str">
        <f t="shared" si="0"/>
        <v>facilityName</v>
      </c>
      <c r="F4" t="str">
        <f t="shared" si="0"/>
        <v>program</v>
      </c>
      <c r="G4" t="str">
        <f t="shared" si="0"/>
        <v>k1</v>
      </c>
      <c r="H4" t="str">
        <f t="shared" si="0"/>
        <v>k2</v>
      </c>
      <c r="I4" t="str">
        <f t="shared" si="0"/>
        <v>k3</v>
      </c>
      <c r="J4" t="str">
        <f t="shared" si="0"/>
        <v>k4</v>
      </c>
      <c r="K4" t="str">
        <f t="shared" si="0"/>
        <v>k5</v>
      </c>
      <c r="L4" t="str">
        <f t="shared" si="0"/>
        <v>k6</v>
      </c>
      <c r="M4" t="str">
        <f t="shared" si="0"/>
        <v>k7</v>
      </c>
      <c r="N4" t="str">
        <f t="shared" si="0"/>
        <v>k8</v>
      </c>
      <c r="O4" t="str">
        <f t="shared" si="0"/>
        <v>k9</v>
      </c>
      <c r="P4" t="str">
        <f t="shared" si="0"/>
        <v>k10</v>
      </c>
      <c r="Q4" s="1" t="str">
        <f t="shared" si="0"/>
        <v>jumProgram</v>
      </c>
      <c r="R4" s="1" t="str">
        <f t="shared" si="0"/>
        <v>jumPesakit</v>
      </c>
      <c r="S4" t="str">
        <f t="shared" si="0"/>
        <v/>
      </c>
      <c r="T4" t="str">
        <f t="shared" si="0"/>
        <v/>
      </c>
      <c r="U4" t="str">
        <f t="shared" si="0"/>
        <v/>
      </c>
      <c r="V4" t="str">
        <f t="shared" si="0"/>
        <v/>
      </c>
      <c r="W4" t="str">
        <f t="shared" si="0"/>
        <v/>
      </c>
      <c r="X4" t="str">
        <f t="shared" ref="X4" si="1">DashFixer(X3)</f>
        <v>ccmDietRendahKolesterol</v>
      </c>
      <c r="Y4" t="str">
        <f t="shared" ref="Y4" si="2">DashFixer(Y3)</f>
        <v>ccmDietRendahLemak</v>
      </c>
      <c r="Z4" t="str">
        <f t="shared" ref="Z4" si="3">DashFixer(Z3)</f>
        <v>ccmDietRendahKalori</v>
      </c>
      <c r="AA4" t="str">
        <f t="shared" ref="AA4" si="4">DashFixer(AA3)</f>
        <v>ccmDietTinggiKalori</v>
      </c>
      <c r="AB4" t="str">
        <f t="shared" ref="AB4" si="5">DashFixer(AB3)</f>
        <v>ccmDietRendahProtein</v>
      </c>
      <c r="AC4" t="str">
        <f t="shared" ref="AC4" si="6">DashFixer(AC3)</f>
        <v>ccmDietTinggiProtein</v>
      </c>
      <c r="AD4" t="str">
        <f t="shared" ref="AD4" si="7">DashFixer(AD3)</f>
        <v>ccmDietRendahPurin</v>
      </c>
      <c r="AE4" t="str">
        <f t="shared" ref="AE4" si="8">DashFixer(AE3)</f>
        <v>ccmDietRendahPotassium</v>
      </c>
      <c r="AF4" t="str">
        <f t="shared" ref="AF4" si="9">DashFixer(AF3)</f>
        <v>ccmDietTinggiPotassium</v>
      </c>
      <c r="AG4" t="str">
        <f t="shared" ref="AG4" si="10">DashFixer(AG3)</f>
        <v>ccmDietRendahFostat</v>
      </c>
      <c r="AH4" t="str">
        <f t="shared" ref="AH4" si="11">DashFixer(AH3)</f>
        <v>ccmDietIem</v>
      </c>
      <c r="AI4" t="str">
        <f t="shared" ref="AI4" si="12">DashFixer(AI3)</f>
        <v>ccmDietKetogenik</v>
      </c>
      <c r="AJ4" t="str">
        <f t="shared" ref="AJ4" si="13">DashFixer(AJ3)</f>
        <v>ccmLainLain</v>
      </c>
      <c r="AK4" t="str">
        <f t="shared" ref="AK4" si="14">DashFixer(AK3)</f>
        <v>ccmJenisKaunseling</v>
      </c>
      <c r="AL4" t="str">
        <f t="shared" ref="AL4" si="15">DashFixer(AL3)</f>
        <v>catatan</v>
      </c>
      <c r="AM4" t="str">
        <f t="shared" ref="AM4" si="16">DashFixer(AM3)</f>
        <v>patientName</v>
      </c>
      <c r="AN4" t="str">
        <f t="shared" ref="AN4" si="17">DashFixer(AN3)</f>
        <v>address</v>
      </c>
      <c r="AO4" t="str">
        <f t="shared" ref="AO4" si="18">DashFixer(AO3)</f>
        <v>postalCode</v>
      </c>
      <c r="AP4" t="str">
        <f t="shared" ref="AP4" si="19">DashFixer(AP3)</f>
        <v>stateId</v>
      </c>
      <c r="AQ4" t="str">
        <f t="shared" ref="AQ4" si="20">DashFixer(AQ3)</f>
        <v>homePhone</v>
      </c>
      <c r="AR4" t="str">
        <f t="shared" ref="AR4" si="21">DashFixer(AR3)</f>
        <v>mobilePhone</v>
      </c>
      <c r="AS4" t="str">
        <f t="shared" ref="AS4" si="22">DashFixer(AS3)</f>
        <v>dateOfBirth</v>
      </c>
      <c r="AT4" t="str">
        <f t="shared" ref="AT4" si="23">DashFixer(AT3)</f>
        <v>genderCode</v>
      </c>
      <c r="AU4" t="str">
        <f t="shared" ref="AU4" si="24">DashFixer(AU3)</f>
        <v>nationality</v>
      </c>
      <c r="AV4" t="str">
        <f t="shared" ref="AV4" si="25">DashFixer(AV3)</f>
        <v>occupationCode</v>
      </c>
      <c r="AW4" t="str">
        <f t="shared" ref="AW4" si="26">DashFixer(AW3)</f>
        <v>ethnicGroupCode</v>
      </c>
      <c r="AX4" t="str">
        <f t="shared" ref="AX4" si="27">DashFixer(AX3)</f>
        <v>occupationName</v>
      </c>
      <c r="AY4" t="str">
        <f t="shared" ref="AY4" si="28">DashFixer(AY3)</f>
        <v/>
      </c>
      <c r="AZ4" t="str">
        <f t="shared" ref="AZ4" si="29">DashFixer(AZ3)</f>
        <v/>
      </c>
      <c r="BA4" t="str">
        <f t="shared" ref="BA4" si="30">DashFixer(BA3)</f>
        <v/>
      </c>
      <c r="BB4" t="str">
        <f t="shared" ref="BB4" si="31">DashFixer(BB3)</f>
        <v/>
      </c>
      <c r="BC4" t="str">
        <f t="shared" ref="BC4" si="32">DashFixer(BC3)</f>
        <v/>
      </c>
      <c r="BD4" t="str">
        <f t="shared" ref="BD4" si="33">DashFixer(BD3)</f>
        <v/>
      </c>
      <c r="BE4" t="str">
        <f t="shared" ref="BE4" si="34">DashFixer(BE3)</f>
        <v/>
      </c>
      <c r="BF4" t="str">
        <f t="shared" ref="BF4" si="35">DashFixer(BF3)</f>
        <v/>
      </c>
      <c r="BG4" t="str">
        <f t="shared" ref="BG4" si="36">DashFixer(BG3)</f>
        <v/>
      </c>
      <c r="BH4" t="str">
        <f t="shared" ref="BH4" si="37">DashFixer(BH3)</f>
        <v/>
      </c>
      <c r="BI4" t="str">
        <f t="shared" ref="BI4" si="38">DashFixer(BI3)</f>
        <v/>
      </c>
      <c r="BJ4" t="str">
        <f t="shared" ref="BJ4" si="39">DashFixer(BJ3)</f>
        <v/>
      </c>
      <c r="BK4" t="str">
        <f t="shared" ref="BK4" si="40">DashFixer(BK3)</f>
        <v/>
      </c>
      <c r="BL4" t="str">
        <f t="shared" ref="BL4" si="41">DashFixer(BL3)</f>
        <v/>
      </c>
      <c r="BM4" t="str">
        <f t="shared" ref="BM4" si="42">DashFixer(BM3)</f>
        <v/>
      </c>
      <c r="BN4" t="str">
        <f t="shared" ref="BN4" si="43">DashFixer(BN3)</f>
        <v/>
      </c>
      <c r="BO4" t="str">
        <f t="shared" ref="BO4" si="44">DashFixer(BO3)</f>
        <v/>
      </c>
      <c r="BP4" t="str">
        <f t="shared" ref="BP4" si="45">DashFixer(BP3)</f>
        <v/>
      </c>
      <c r="BQ4" t="str">
        <f t="shared" ref="BQ4" si="46">DashFixer(BQ3)</f>
        <v/>
      </c>
      <c r="BR4" t="str">
        <f t="shared" ref="BR4" si="47">DashFixer(BR3)</f>
        <v/>
      </c>
    </row>
    <row r="6" spans="1:74" x14ac:dyDescent="0.25">
      <c r="B6" s="7" t="s">
        <v>9</v>
      </c>
      <c r="C6" s="7" t="s">
        <v>8</v>
      </c>
    </row>
    <row r="7" spans="1:74" x14ac:dyDescent="0.25">
      <c r="A7" s="8" t="s">
        <v>5</v>
      </c>
      <c r="B7" t="s">
        <v>82</v>
      </c>
      <c r="C7" s="9" t="str">
        <f xml:space="preserve">  B7 &amp;" : "&amp;A7&amp;" ;"</f>
        <v>rnum : long ;</v>
      </c>
      <c r="D7" t="s">
        <v>69</v>
      </c>
    </row>
    <row r="8" spans="1:74" x14ac:dyDescent="0.25">
      <c r="A8" s="8" t="s">
        <v>6</v>
      </c>
      <c r="B8" t="s">
        <v>76</v>
      </c>
      <c r="C8" s="9" t="str">
        <f t="shared" ref="C8:C71" si="48" xml:space="preserve">  B8 &amp;" : "&amp;A8&amp;" ;"</f>
        <v>stateName : string ;</v>
      </c>
    </row>
    <row r="9" spans="1:74" x14ac:dyDescent="0.25">
      <c r="A9" s="8" t="s">
        <v>6</v>
      </c>
      <c r="B9" t="s">
        <v>78</v>
      </c>
      <c r="C9" s="9" t="str">
        <f t="shared" si="48"/>
        <v>districtName : string ;</v>
      </c>
      <c r="F9" t="s">
        <v>82</v>
      </c>
      <c r="G9" t="s">
        <v>76</v>
      </c>
      <c r="H9" t="s">
        <v>78</v>
      </c>
      <c r="I9" t="s">
        <v>4</v>
      </c>
      <c r="J9" t="s">
        <v>81</v>
      </c>
      <c r="K9" t="s">
        <v>83</v>
      </c>
      <c r="L9" t="s">
        <v>84</v>
      </c>
      <c r="M9" t="s">
        <v>85</v>
      </c>
      <c r="N9" t="s">
        <v>86</v>
      </c>
      <c r="O9" t="s">
        <v>87</v>
      </c>
      <c r="P9" t="s">
        <v>88</v>
      </c>
      <c r="Q9" s="1" t="s">
        <v>89</v>
      </c>
      <c r="R9" s="1" t="s">
        <v>90</v>
      </c>
      <c r="S9" t="s">
        <v>91</v>
      </c>
      <c r="T9" t="s">
        <v>92</v>
      </c>
      <c r="U9" t="s">
        <v>95</v>
      </c>
      <c r="V9" t="s">
        <v>96</v>
      </c>
      <c r="Y9" t="s">
        <v>40</v>
      </c>
      <c r="Z9" t="s">
        <v>41</v>
      </c>
      <c r="AA9" t="s">
        <v>42</v>
      </c>
      <c r="AB9" t="s">
        <v>43</v>
      </c>
      <c r="AC9" t="s">
        <v>44</v>
      </c>
      <c r="AD9" t="s">
        <v>45</v>
      </c>
      <c r="AE9" t="s">
        <v>46</v>
      </c>
      <c r="AF9" t="s">
        <v>47</v>
      </c>
      <c r="AG9" t="s">
        <v>48</v>
      </c>
      <c r="AH9" t="s">
        <v>49</v>
      </c>
      <c r="AI9" t="s">
        <v>50</v>
      </c>
      <c r="AJ9" t="s">
        <v>51</v>
      </c>
      <c r="AK9" t="s">
        <v>52</v>
      </c>
      <c r="AL9" t="s">
        <v>53</v>
      </c>
      <c r="AM9" t="s">
        <v>54</v>
      </c>
      <c r="AN9" t="s">
        <v>55</v>
      </c>
      <c r="AO9" t="s">
        <v>56</v>
      </c>
      <c r="AP9" t="s">
        <v>25</v>
      </c>
      <c r="AQ9" t="s">
        <v>57</v>
      </c>
      <c r="AR9" t="s">
        <v>27</v>
      </c>
      <c r="AS9" t="s">
        <v>58</v>
      </c>
      <c r="AT9" t="s">
        <v>3</v>
      </c>
      <c r="AU9" t="s">
        <v>59</v>
      </c>
      <c r="AV9" t="s">
        <v>60</v>
      </c>
      <c r="AW9" t="s">
        <v>61</v>
      </c>
      <c r="AX9" t="s">
        <v>62</v>
      </c>
      <c r="AY9" t="s">
        <v>33</v>
      </c>
      <c r="AZ9" t="s">
        <v>63</v>
      </c>
      <c r="BA9" t="s">
        <v>64</v>
      </c>
      <c r="BB9" t="s">
        <v>65</v>
      </c>
      <c r="BC9" t="s">
        <v>66</v>
      </c>
      <c r="BD9" t="s">
        <v>66</v>
      </c>
      <c r="BE9" t="s">
        <v>66</v>
      </c>
      <c r="BF9" t="s">
        <v>66</v>
      </c>
      <c r="BG9" t="s">
        <v>66</v>
      </c>
      <c r="BH9" t="s">
        <v>66</v>
      </c>
      <c r="BI9" t="s">
        <v>66</v>
      </c>
      <c r="BJ9" t="s">
        <v>66</v>
      </c>
      <c r="BK9" t="s">
        <v>66</v>
      </c>
      <c r="BL9" t="s">
        <v>66</v>
      </c>
      <c r="BM9" t="s">
        <v>66</v>
      </c>
      <c r="BN9" t="s">
        <v>66</v>
      </c>
      <c r="BO9" t="s">
        <v>66</v>
      </c>
      <c r="BP9" t="s">
        <v>66</v>
      </c>
      <c r="BQ9" t="s">
        <v>66</v>
      </c>
      <c r="BR9" t="s">
        <v>66</v>
      </c>
      <c r="BS9" t="s">
        <v>66</v>
      </c>
      <c r="BT9" t="s">
        <v>66</v>
      </c>
      <c r="BU9" t="s">
        <v>66</v>
      </c>
      <c r="BV9" t="s">
        <v>66</v>
      </c>
    </row>
    <row r="10" spans="1:74" x14ac:dyDescent="0.25">
      <c r="A10" s="8" t="s">
        <v>6</v>
      </c>
      <c r="B10" t="s">
        <v>4</v>
      </c>
      <c r="C10" s="9" t="str">
        <f t="shared" si="48"/>
        <v>facilityName : string ;</v>
      </c>
    </row>
    <row r="11" spans="1:74" x14ac:dyDescent="0.25">
      <c r="A11" s="8" t="s">
        <v>6</v>
      </c>
      <c r="B11" t="s">
        <v>81</v>
      </c>
      <c r="C11" s="9" t="str">
        <f t="shared" si="48"/>
        <v>program : string ;</v>
      </c>
    </row>
    <row r="12" spans="1:74" x14ac:dyDescent="0.25">
      <c r="A12" s="8" t="s">
        <v>5</v>
      </c>
      <c r="B12" t="s">
        <v>83</v>
      </c>
      <c r="C12" s="9" t="str">
        <f t="shared" si="48"/>
        <v>k1 : long ;</v>
      </c>
    </row>
    <row r="13" spans="1:74" x14ac:dyDescent="0.25">
      <c r="A13" s="8" t="s">
        <v>5</v>
      </c>
      <c r="B13" t="s">
        <v>84</v>
      </c>
      <c r="C13" s="9" t="str">
        <f t="shared" si="48"/>
        <v>k2 : long ;</v>
      </c>
      <c r="F13" t="s">
        <v>2</v>
      </c>
      <c r="G13" t="s">
        <v>74</v>
      </c>
      <c r="H13" t="s">
        <v>75</v>
      </c>
      <c r="I13" t="s">
        <v>37</v>
      </c>
      <c r="J13" t="s">
        <v>70</v>
      </c>
      <c r="K13" t="s">
        <v>71</v>
      </c>
      <c r="L13" t="s">
        <v>3</v>
      </c>
      <c r="M13" t="s">
        <v>76</v>
      </c>
      <c r="N13" t="s">
        <v>77</v>
      </c>
      <c r="O13" t="s">
        <v>78</v>
      </c>
      <c r="P13" t="s">
        <v>79</v>
      </c>
      <c r="Q13" s="1" t="s">
        <v>4</v>
      </c>
      <c r="R13" s="1" t="s">
        <v>80</v>
      </c>
      <c r="S13" t="s">
        <v>68</v>
      </c>
    </row>
    <row r="14" spans="1:74" x14ac:dyDescent="0.25">
      <c r="A14" s="8" t="s">
        <v>5</v>
      </c>
      <c r="B14" t="s">
        <v>85</v>
      </c>
      <c r="C14" s="9" t="str">
        <f t="shared" si="48"/>
        <v>k3 : long ;</v>
      </c>
    </row>
    <row r="15" spans="1:74" x14ac:dyDescent="0.25">
      <c r="A15" s="8" t="s">
        <v>5</v>
      </c>
      <c r="B15" t="s">
        <v>86</v>
      </c>
      <c r="C15" s="9" t="str">
        <f t="shared" si="48"/>
        <v>k4 : long ;</v>
      </c>
    </row>
    <row r="16" spans="1:74" x14ac:dyDescent="0.25">
      <c r="A16" s="8" t="s">
        <v>5</v>
      </c>
      <c r="B16" t="s">
        <v>87</v>
      </c>
      <c r="C16" s="9" t="str">
        <f t="shared" si="48"/>
        <v>k5 : long ;</v>
      </c>
      <c r="F16" t="s">
        <v>2</v>
      </c>
    </row>
    <row r="17" spans="1:6" x14ac:dyDescent="0.25">
      <c r="A17" s="8" t="s">
        <v>5</v>
      </c>
      <c r="B17" t="s">
        <v>88</v>
      </c>
      <c r="C17" s="9" t="str">
        <f t="shared" si="48"/>
        <v>k6 : long ;</v>
      </c>
      <c r="F17" t="s">
        <v>74</v>
      </c>
    </row>
    <row r="18" spans="1:6" x14ac:dyDescent="0.25">
      <c r="A18" s="8" t="s">
        <v>5</v>
      </c>
      <c r="B18" s="1" t="s">
        <v>89</v>
      </c>
      <c r="C18" s="9" t="str">
        <f t="shared" si="48"/>
        <v>k7 : long ;</v>
      </c>
      <c r="F18" t="s">
        <v>75</v>
      </c>
    </row>
    <row r="19" spans="1:6" x14ac:dyDescent="0.25">
      <c r="A19" s="8" t="s">
        <v>5</v>
      </c>
      <c r="B19" s="1" t="s">
        <v>90</v>
      </c>
      <c r="C19" s="9" t="str">
        <f t="shared" si="48"/>
        <v>k8 : long ;</v>
      </c>
      <c r="F19" t="s">
        <v>37</v>
      </c>
    </row>
    <row r="20" spans="1:6" x14ac:dyDescent="0.25">
      <c r="A20" s="8" t="s">
        <v>5</v>
      </c>
      <c r="B20" t="s">
        <v>91</v>
      </c>
      <c r="C20" s="9" t="str">
        <f t="shared" si="48"/>
        <v>k9 : long ;</v>
      </c>
      <c r="F20" t="s">
        <v>70</v>
      </c>
    </row>
    <row r="21" spans="1:6" x14ac:dyDescent="0.25">
      <c r="A21" s="8" t="s">
        <v>5</v>
      </c>
      <c r="B21" t="s">
        <v>92</v>
      </c>
      <c r="C21" s="9" t="str">
        <f t="shared" si="48"/>
        <v>k10 : long ;</v>
      </c>
      <c r="F21" t="s">
        <v>71</v>
      </c>
    </row>
    <row r="22" spans="1:6" x14ac:dyDescent="0.25">
      <c r="A22" s="8" t="s">
        <v>5</v>
      </c>
      <c r="B22" t="s">
        <v>95</v>
      </c>
      <c r="C22" s="9" t="str">
        <f t="shared" si="48"/>
        <v>jumProgram : long ;</v>
      </c>
      <c r="F22" t="s">
        <v>3</v>
      </c>
    </row>
    <row r="23" spans="1:6" x14ac:dyDescent="0.25">
      <c r="A23" s="8" t="s">
        <v>5</v>
      </c>
      <c r="B23" t="s">
        <v>96</v>
      </c>
      <c r="C23" s="9" t="str">
        <f t="shared" si="48"/>
        <v>jumPesakit : long ;</v>
      </c>
      <c r="F23" t="s">
        <v>76</v>
      </c>
    </row>
    <row r="24" spans="1:6" x14ac:dyDescent="0.25">
      <c r="A24" s="8" t="s">
        <v>6</v>
      </c>
      <c r="B24" t="s">
        <v>38</v>
      </c>
      <c r="C24" s="9" t="str">
        <f t="shared" si="48"/>
        <v>ccmParenteral : string ;</v>
      </c>
      <c r="F24" t="s">
        <v>77</v>
      </c>
    </row>
    <row r="25" spans="1:6" x14ac:dyDescent="0.25">
      <c r="A25" s="8" t="s">
        <v>6</v>
      </c>
      <c r="B25" t="s">
        <v>39</v>
      </c>
      <c r="C25" s="9" t="str">
        <f t="shared" si="48"/>
        <v>ccmDietPiawai : string ;</v>
      </c>
      <c r="F25" t="s">
        <v>78</v>
      </c>
    </row>
    <row r="26" spans="1:6" x14ac:dyDescent="0.25">
      <c r="A26" s="8" t="s">
        <v>6</v>
      </c>
      <c r="B26" t="s">
        <v>40</v>
      </c>
      <c r="C26" s="9" t="str">
        <f t="shared" si="48"/>
        <v>ccmDietModifikasiKonsistensi : string ;</v>
      </c>
      <c r="F26" t="s">
        <v>79</v>
      </c>
    </row>
    <row r="27" spans="1:6" x14ac:dyDescent="0.25">
      <c r="A27" s="8" t="s">
        <v>6</v>
      </c>
      <c r="B27" t="s">
        <v>41</v>
      </c>
      <c r="C27" s="9" t="str">
        <f t="shared" si="48"/>
        <v>ccmDietDiabetik : string ;</v>
      </c>
      <c r="F27" s="1" t="s">
        <v>4</v>
      </c>
    </row>
    <row r="28" spans="1:6" x14ac:dyDescent="0.25">
      <c r="A28" s="8" t="s">
        <v>6</v>
      </c>
      <c r="B28" t="s">
        <v>42</v>
      </c>
      <c r="C28" s="9" t="str">
        <f t="shared" si="48"/>
        <v>ccmDietRendahGaram : string ;</v>
      </c>
      <c r="F28" s="1" t="s">
        <v>80</v>
      </c>
    </row>
    <row r="29" spans="1:6" x14ac:dyDescent="0.25">
      <c r="A29" s="8" t="s">
        <v>6</v>
      </c>
      <c r="B29" t="s">
        <v>43</v>
      </c>
      <c r="C29" s="9" t="str">
        <f t="shared" si="48"/>
        <v>ccmDietRendahKolesterol : string ;</v>
      </c>
      <c r="F29" t="s">
        <v>68</v>
      </c>
    </row>
    <row r="30" spans="1:6" x14ac:dyDescent="0.25">
      <c r="A30" s="8" t="s">
        <v>6</v>
      </c>
      <c r="B30" t="s">
        <v>44</v>
      </c>
      <c r="C30" s="9" t="str">
        <f t="shared" si="48"/>
        <v>ccmDietRendahLemak : string ;</v>
      </c>
    </row>
    <row r="31" spans="1:6" x14ac:dyDescent="0.25">
      <c r="A31" s="8" t="s">
        <v>6</v>
      </c>
      <c r="B31" t="s">
        <v>45</v>
      </c>
      <c r="C31" s="9" t="str">
        <f t="shared" si="48"/>
        <v>ccmDietRendahKalori : string ;</v>
      </c>
    </row>
    <row r="32" spans="1:6" x14ac:dyDescent="0.25">
      <c r="A32" s="8" t="s">
        <v>6</v>
      </c>
      <c r="B32" t="s">
        <v>46</v>
      </c>
      <c r="C32" s="9" t="str">
        <f t="shared" si="48"/>
        <v>ccmDietTinggiKalori : string ;</v>
      </c>
    </row>
    <row r="33" spans="1:3" x14ac:dyDescent="0.25">
      <c r="A33" s="8" t="s">
        <v>6</v>
      </c>
      <c r="B33" t="s">
        <v>47</v>
      </c>
      <c r="C33" s="9" t="str">
        <f t="shared" si="48"/>
        <v>ccmDietRendahProtein : string ;</v>
      </c>
    </row>
    <row r="34" spans="1:3" x14ac:dyDescent="0.25">
      <c r="A34" s="8" t="s">
        <v>6</v>
      </c>
      <c r="B34" t="s">
        <v>48</v>
      </c>
      <c r="C34" s="9" t="str">
        <f t="shared" si="48"/>
        <v>ccmDietTinggiProtein : string ;</v>
      </c>
    </row>
    <row r="35" spans="1:3" x14ac:dyDescent="0.25">
      <c r="A35" s="8" t="s">
        <v>6</v>
      </c>
      <c r="B35" t="s">
        <v>49</v>
      </c>
      <c r="C35" s="9" t="str">
        <f t="shared" si="48"/>
        <v>ccmDietRendahPurin : string ;</v>
      </c>
    </row>
    <row r="36" spans="1:3" x14ac:dyDescent="0.25">
      <c r="A36" s="8" t="s">
        <v>6</v>
      </c>
      <c r="B36" t="s">
        <v>50</v>
      </c>
      <c r="C36" s="9" t="str">
        <f t="shared" si="48"/>
        <v>ccmDietRendahPotassium : string ;</v>
      </c>
    </row>
    <row r="37" spans="1:3" x14ac:dyDescent="0.25">
      <c r="A37" s="8" t="s">
        <v>6</v>
      </c>
      <c r="B37" t="s">
        <v>51</v>
      </c>
      <c r="C37" s="9" t="str">
        <f t="shared" si="48"/>
        <v>ccmDietTinggiPotassium : string ;</v>
      </c>
    </row>
    <row r="38" spans="1:3" x14ac:dyDescent="0.25">
      <c r="A38" s="8" t="s">
        <v>6</v>
      </c>
      <c r="B38" t="s">
        <v>52</v>
      </c>
      <c r="C38" s="9" t="str">
        <f t="shared" si="48"/>
        <v>ccmDietRendahFostat : string ;</v>
      </c>
    </row>
    <row r="39" spans="1:3" x14ac:dyDescent="0.25">
      <c r="A39" s="8" t="s">
        <v>6</v>
      </c>
      <c r="B39" t="s">
        <v>53</v>
      </c>
      <c r="C39" s="9" t="str">
        <f t="shared" si="48"/>
        <v>ccmDietIem : string ;</v>
      </c>
    </row>
    <row r="40" spans="1:3" x14ac:dyDescent="0.25">
      <c r="A40" s="8" t="s">
        <v>6</v>
      </c>
      <c r="B40" t="s">
        <v>54</v>
      </c>
      <c r="C40" s="9" t="str">
        <f t="shared" si="48"/>
        <v>ccmDietKetogenik : string ;</v>
      </c>
    </row>
    <row r="41" spans="1:3" x14ac:dyDescent="0.25">
      <c r="A41" s="8" t="s">
        <v>6</v>
      </c>
      <c r="B41" t="s">
        <v>55</v>
      </c>
      <c r="C41" s="9" t="str">
        <f t="shared" si="48"/>
        <v>ccmLainLain : string ;</v>
      </c>
    </row>
    <row r="42" spans="1:3" x14ac:dyDescent="0.25">
      <c r="A42" s="8" t="s">
        <v>6</v>
      </c>
      <c r="B42" t="s">
        <v>56</v>
      </c>
      <c r="C42" s="9" t="str">
        <f t="shared" si="48"/>
        <v>ccmJenisKaunseling : string ;</v>
      </c>
    </row>
    <row r="43" spans="1:3" x14ac:dyDescent="0.25">
      <c r="A43" s="8" t="s">
        <v>6</v>
      </c>
      <c r="B43" t="s">
        <v>25</v>
      </c>
      <c r="C43" s="9" t="str">
        <f t="shared" si="48"/>
        <v>catatan : string ;</v>
      </c>
    </row>
    <row r="44" spans="1:3" x14ac:dyDescent="0.25">
      <c r="A44" s="8" t="s">
        <v>6</v>
      </c>
      <c r="B44" t="s">
        <v>57</v>
      </c>
      <c r="C44" s="9" t="str">
        <f t="shared" si="48"/>
        <v>patientName : string ;</v>
      </c>
    </row>
    <row r="45" spans="1:3" x14ac:dyDescent="0.25">
      <c r="A45" s="8" t="s">
        <v>6</v>
      </c>
      <c r="B45" t="s">
        <v>27</v>
      </c>
      <c r="C45" s="9" t="str">
        <f t="shared" si="48"/>
        <v>address : string ;</v>
      </c>
    </row>
    <row r="46" spans="1:3" x14ac:dyDescent="0.25">
      <c r="A46" s="8" t="s">
        <v>6</v>
      </c>
      <c r="B46" t="s">
        <v>58</v>
      </c>
      <c r="C46" s="9" t="str">
        <f t="shared" si="48"/>
        <v>postalCode : string ;</v>
      </c>
    </row>
    <row r="47" spans="1:3" x14ac:dyDescent="0.25">
      <c r="A47" s="8" t="s">
        <v>5</v>
      </c>
      <c r="B47" t="s">
        <v>3</v>
      </c>
      <c r="C47" s="9" t="str">
        <f t="shared" si="48"/>
        <v>stateId : long ;</v>
      </c>
    </row>
    <row r="48" spans="1:3" x14ac:dyDescent="0.25">
      <c r="A48" s="8" t="s">
        <v>6</v>
      </c>
      <c r="B48" t="s">
        <v>59</v>
      </c>
      <c r="C48" s="9" t="str">
        <f t="shared" si="48"/>
        <v>homePhone : string ;</v>
      </c>
    </row>
    <row r="49" spans="1:3" x14ac:dyDescent="0.25">
      <c r="A49" s="8" t="s">
        <v>6</v>
      </c>
      <c r="B49" t="s">
        <v>60</v>
      </c>
      <c r="C49" s="9" t="str">
        <f t="shared" si="48"/>
        <v>mobilePhone : string ;</v>
      </c>
    </row>
    <row r="50" spans="1:3" x14ac:dyDescent="0.25">
      <c r="A50" s="8" t="s">
        <v>6</v>
      </c>
      <c r="B50" t="s">
        <v>61</v>
      </c>
      <c r="C50" s="9" t="str">
        <f t="shared" si="48"/>
        <v>dateOfBirth : string ;</v>
      </c>
    </row>
    <row r="51" spans="1:3" x14ac:dyDescent="0.25">
      <c r="A51" s="8" t="s">
        <v>6</v>
      </c>
      <c r="B51" t="s">
        <v>62</v>
      </c>
      <c r="C51" s="9" t="str">
        <f t="shared" si="48"/>
        <v>genderCode : string ;</v>
      </c>
    </row>
    <row r="52" spans="1:3" x14ac:dyDescent="0.25">
      <c r="A52" s="8" t="s">
        <v>6</v>
      </c>
      <c r="B52" t="s">
        <v>33</v>
      </c>
      <c r="C52" s="9" t="str">
        <f t="shared" si="48"/>
        <v>nationality : string ;</v>
      </c>
    </row>
    <row r="53" spans="1:3" x14ac:dyDescent="0.25">
      <c r="A53" s="8" t="s">
        <v>6</v>
      </c>
      <c r="B53" t="s">
        <v>63</v>
      </c>
      <c r="C53" s="9" t="str">
        <f t="shared" si="48"/>
        <v>occupationCode : string ;</v>
      </c>
    </row>
    <row r="54" spans="1:3" x14ac:dyDescent="0.25">
      <c r="A54" s="8" t="s">
        <v>6</v>
      </c>
      <c r="B54" t="s">
        <v>64</v>
      </c>
      <c r="C54" s="9" t="str">
        <f t="shared" si="48"/>
        <v>ethnicGroupCode : string ;</v>
      </c>
    </row>
    <row r="55" spans="1:3" x14ac:dyDescent="0.25">
      <c r="A55" s="8" t="s">
        <v>6</v>
      </c>
      <c r="B55" t="s">
        <v>65</v>
      </c>
      <c r="C55" s="9" t="str">
        <f t="shared" si="48"/>
        <v>occupationName : string ;</v>
      </c>
    </row>
    <row r="56" spans="1:3" x14ac:dyDescent="0.25">
      <c r="B56" t="s">
        <v>66</v>
      </c>
      <c r="C56" s="9" t="str">
        <f t="shared" si="48"/>
        <v xml:space="preserve"> :  ;</v>
      </c>
    </row>
    <row r="57" spans="1:3" x14ac:dyDescent="0.25">
      <c r="A57" s="8" t="s">
        <v>67</v>
      </c>
      <c r="B57" t="s">
        <v>68</v>
      </c>
      <c r="C57" s="9" t="str">
        <f t="shared" si="48"/>
        <v>createdAt : date ;</v>
      </c>
    </row>
    <row r="58" spans="1:3" x14ac:dyDescent="0.25">
      <c r="B58" t="s">
        <v>66</v>
      </c>
      <c r="C58" s="9" t="str">
        <f t="shared" si="48"/>
        <v xml:space="preserve"> :  ;</v>
      </c>
    </row>
    <row r="59" spans="1:3" x14ac:dyDescent="0.25">
      <c r="B59" t="s">
        <v>66</v>
      </c>
      <c r="C59" s="9" t="str">
        <f t="shared" si="48"/>
        <v xml:space="preserve"> :  ;</v>
      </c>
    </row>
    <row r="60" spans="1:3" x14ac:dyDescent="0.25">
      <c r="B60" t="s">
        <v>66</v>
      </c>
      <c r="C60" s="9" t="str">
        <f t="shared" si="48"/>
        <v xml:space="preserve"> :  ;</v>
      </c>
    </row>
    <row r="61" spans="1:3" x14ac:dyDescent="0.25">
      <c r="B61" t="s">
        <v>66</v>
      </c>
      <c r="C61" s="9" t="str">
        <f t="shared" si="48"/>
        <v xml:space="preserve"> :  ;</v>
      </c>
    </row>
    <row r="62" spans="1:3" x14ac:dyDescent="0.25">
      <c r="B62" t="s">
        <v>66</v>
      </c>
      <c r="C62" s="9" t="str">
        <f t="shared" si="48"/>
        <v xml:space="preserve"> :  ;</v>
      </c>
    </row>
    <row r="63" spans="1:3" x14ac:dyDescent="0.25">
      <c r="B63" t="s">
        <v>66</v>
      </c>
      <c r="C63" s="9" t="str">
        <f t="shared" si="48"/>
        <v xml:space="preserve"> :  ;</v>
      </c>
    </row>
    <row r="64" spans="1:3" x14ac:dyDescent="0.25">
      <c r="B64" t="s">
        <v>66</v>
      </c>
      <c r="C64" s="9" t="str">
        <f t="shared" si="48"/>
        <v xml:space="preserve"> :  ;</v>
      </c>
    </row>
    <row r="65" spans="2:3" x14ac:dyDescent="0.25">
      <c r="B65" t="s">
        <v>66</v>
      </c>
      <c r="C65" s="9" t="str">
        <f t="shared" si="48"/>
        <v xml:space="preserve"> :  ;</v>
      </c>
    </row>
    <row r="66" spans="2:3" x14ac:dyDescent="0.25">
      <c r="B66" t="s">
        <v>66</v>
      </c>
      <c r="C66" s="9" t="str">
        <f t="shared" si="48"/>
        <v xml:space="preserve"> :  ;</v>
      </c>
    </row>
    <row r="67" spans="2:3" x14ac:dyDescent="0.25">
      <c r="B67" t="s">
        <v>66</v>
      </c>
      <c r="C67" s="9" t="str">
        <f t="shared" si="48"/>
        <v xml:space="preserve"> :  ;</v>
      </c>
    </row>
    <row r="68" spans="2:3" x14ac:dyDescent="0.25">
      <c r="B68" t="s">
        <v>66</v>
      </c>
      <c r="C68" s="9" t="str">
        <f t="shared" si="48"/>
        <v xml:space="preserve"> :  ;</v>
      </c>
    </row>
    <row r="69" spans="2:3" x14ac:dyDescent="0.25">
      <c r="B69" t="s">
        <v>66</v>
      </c>
      <c r="C69" s="9" t="str">
        <f t="shared" si="48"/>
        <v xml:space="preserve"> :  ;</v>
      </c>
    </row>
    <row r="70" spans="2:3" x14ac:dyDescent="0.25">
      <c r="B70" t="s">
        <v>66</v>
      </c>
      <c r="C70" s="9" t="str">
        <f t="shared" si="48"/>
        <v xml:space="preserve"> :  ;</v>
      </c>
    </row>
    <row r="71" spans="2:3" x14ac:dyDescent="0.25">
      <c r="B71" t="s">
        <v>66</v>
      </c>
      <c r="C71" s="9" t="str">
        <f t="shared" si="48"/>
        <v xml:space="preserve"> :  ;</v>
      </c>
    </row>
    <row r="72" spans="2:3" x14ac:dyDescent="0.25">
      <c r="B72" t="s">
        <v>66</v>
      </c>
      <c r="C72" s="9" t="str">
        <f t="shared" ref="C72:C75" si="49" xml:space="preserve">  B72 &amp;" : "&amp;A72&amp;" ;"</f>
        <v xml:space="preserve"> :  ;</v>
      </c>
    </row>
    <row r="73" spans="2:3" x14ac:dyDescent="0.25">
      <c r="B73" t="s">
        <v>66</v>
      </c>
      <c r="C73" s="9" t="str">
        <f t="shared" si="49"/>
        <v xml:space="preserve"> :  ;</v>
      </c>
    </row>
    <row r="74" spans="2:3" x14ac:dyDescent="0.25">
      <c r="B74" t="s">
        <v>66</v>
      </c>
      <c r="C74" s="9" t="str">
        <f t="shared" si="49"/>
        <v xml:space="preserve"> :  ;</v>
      </c>
    </row>
    <row r="75" spans="2:3" x14ac:dyDescent="0.25">
      <c r="B75" t="s">
        <v>66</v>
      </c>
      <c r="C75" s="9" t="str">
        <f t="shared" si="49"/>
        <v xml:space="preserve"> :  ;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RPT_TPCNHPH010C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Abdul Aziz Syed Mansoor</cp:lastModifiedBy>
  <dcterms:created xsi:type="dcterms:W3CDTF">2018-09-04T10:55:27Z</dcterms:created>
  <dcterms:modified xsi:type="dcterms:W3CDTF">2018-11-09T01:32:24Z</dcterms:modified>
</cp:coreProperties>
</file>